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sidential" sheetId="2" state="visible" r:id="rId2"/>
    <sheet xmlns:r="http://schemas.openxmlformats.org/officeDocument/2006/relationships" name="Townhouse" sheetId="3" state="visible" r:id="rId3"/>
  </sheets>
  <definedNames>
    <definedName name="_xlnm.Print_Area" localSheetId="0">'Start Here'!$A$1:$D$31</definedName>
    <definedName name="_xlnm.Print_Area" localSheetId="1">'Residential'!$A$1:$I$37</definedName>
    <definedName name="_xlnm.Print_Area" localSheetId="2">'Townhouse'!$A$1:$I$37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$#,##0;[Red]-$#,##0"/>
    <numFmt numFmtId="167" formatCode="+0%;-0%;0%"/>
  </numFmts>
  <fonts count="1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7A7A7A"/>
      <sz val="9"/>
    </font>
    <font>
      <b val="1"/>
      <color rgb="001F3A5F"/>
      <sz val="9"/>
    </font>
    <font>
      <color rgb="007A7A7A"/>
      <sz val="9"/>
    </font>
    <font>
      <color rgb="001A1A1A"/>
      <sz val="9.5"/>
    </font>
    <font>
      <color rgb="001A1A1A"/>
      <sz val="9"/>
    </font>
    <font>
      <b val="1"/>
      <color rgb="001A1A1A"/>
      <sz val="9"/>
    </font>
    <font>
      <i val="1"/>
      <color rgb="007A7A7A"/>
      <sz val="8"/>
    </font>
    <font>
      <b val="1"/>
      <color rgb="007A7A7A"/>
      <sz val="8"/>
    </font>
    <font>
      <b val="1"/>
      <color rgb="001F3A5F"/>
      <sz val="18"/>
    </font>
    <font>
      <b val="1"/>
      <color rgb="001F3A5F"/>
      <sz val="13"/>
    </font>
    <font>
      <b val="1"/>
      <color rgb="001A1A1A"/>
      <sz val="20"/>
    </font>
    <font>
      <color rgb="00FFFFFF"/>
      <sz val="9.5"/>
    </font>
    <font>
      <b val="1"/>
      <color rgb="001F3A5F"/>
      <sz val="8.5"/>
    </font>
    <font>
      <b val="1"/>
      <color rgb="00FFFFFF"/>
      <sz val="15"/>
    </font>
    <font>
      <i val="1"/>
      <color rgb="007A7A7A"/>
      <sz val="10"/>
    </font>
    <font>
      <b val="1"/>
      <color rgb="001F3A5F"/>
      <sz val="11"/>
    </font>
    <font>
      <b val="1"/>
      <color rgb="001A1A1A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4E9F0"/>
      </patternFill>
    </fill>
    <fill>
      <patternFill patternType="solid">
        <fgColor rgb="00E8F1FB"/>
      </patternFill>
    </fill>
    <fill>
      <patternFill patternType="solid">
        <fgColor rgb="00F4F6F9"/>
      </patternFill>
    </fill>
  </fills>
  <borders count="6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left/>
      <right/>
      <top style="thin">
        <color rgb="00D9DEE5"/>
      </top>
      <bottom/>
      <diagonal/>
    </border>
    <border>
      <left/>
      <right style="thin">
        <color rgb="00D9DEE5"/>
      </right>
      <top style="thin">
        <color rgb="00D9DEE5"/>
      </top>
      <bottom/>
      <diagonal/>
    </border>
    <border>
      <left/>
      <right style="thin">
        <color rgb="00D9DEE5"/>
      </right>
      <top style="thin">
        <color rgb="00D9DEE5"/>
      </top>
      <bottom style="thin">
        <color rgb="00D9DEE5"/>
      </bottom>
      <diagonal/>
    </border>
    <border>
      <bottom style="thin">
        <color rgb="00D9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5" fillId="2" borderId="0" applyAlignment="1" pivotButton="0" quotePrefix="0" xfId="0">
      <alignment vertical="center" indent="1"/>
    </xf>
    <xf numFmtId="0" fontId="0" fillId="2" borderId="0" pivotButton="0" quotePrefix="0" xfId="0"/>
    <xf numFmtId="0" fontId="16" fillId="0" borderId="0" applyAlignment="1" pivotButton="0" quotePrefix="0" xfId="0">
      <alignment vertical="center"/>
    </xf>
    <xf numFmtId="0" fontId="17" fillId="0" borderId="5" applyAlignment="1" pivotButton="0" quotePrefix="0" xfId="0">
      <alignment vertical="center"/>
    </xf>
    <xf numFmtId="0" fontId="0" fillId="0" borderId="5" pivotButton="0" quotePrefix="0" xfId="0"/>
    <xf numFmtId="0" fontId="18" fillId="0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 indent="1"/>
    </xf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164" fontId="5" fillId="0" borderId="1" applyAlignment="1" applyProtection="1" pivotButton="0" quotePrefix="0" xfId="0">
      <alignment horizontal="right" indent="1"/>
      <protection locked="1" hidden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indent="1"/>
    </xf>
    <xf numFmtId="164" fontId="5" fillId="4" borderId="1" applyAlignment="1" applyProtection="1" pivotButton="0" quotePrefix="0" xfId="0">
      <alignment horizontal="right" indent="1"/>
      <protection locked="0" hidden="0"/>
    </xf>
    <xf numFmtId="0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6" fontId="10" fillId="5" borderId="1" applyAlignment="1" applyProtection="1" pivotButton="0" quotePrefix="0" xfId="0">
      <alignment horizontal="center" vertical="center"/>
      <protection locked="1" hidden="1"/>
    </xf>
    <xf numFmtId="165" fontId="10" fillId="5" borderId="1" applyAlignment="1" applyProtection="1" pivotButton="0" quotePrefix="0" xfId="0">
      <alignment horizontal="center" vertical="center"/>
      <protection locked="1" hidden="1"/>
    </xf>
    <xf numFmtId="166" fontId="11" fillId="5" borderId="1" applyAlignment="1" applyProtection="1" pivotButton="0" quotePrefix="0" xfId="0">
      <alignment horizontal="center" vertical="center"/>
      <protection locked="1" hidden="1"/>
    </xf>
    <xf numFmtId="0" fontId="12" fillId="0" borderId="1" applyAlignment="1" applyProtection="1" pivotButton="0" quotePrefix="0" xfId="0">
      <alignment horizontal="center" vertical="center"/>
      <protection locked="1" hidden="1"/>
    </xf>
    <xf numFmtId="0" fontId="0" fillId="0" borderId="1" pivotButton="0" quotePrefix="0" xfId="0"/>
    <xf numFmtId="0" fontId="6" fillId="0" borderId="0" applyAlignment="1" pivotButton="0" quotePrefix="0" xfId="0">
      <alignment vertical="center"/>
    </xf>
    <xf numFmtId="1" fontId="5" fillId="4" borderId="1" applyAlignment="1" applyProtection="1" pivotButton="0" quotePrefix="0" xfId="0">
      <alignment horizontal="right" indent="1"/>
      <protection locked="0" hidden="0"/>
    </xf>
    <xf numFmtId="0" fontId="8" fillId="0" borderId="0" applyAlignment="1" pivotButton="0" quotePrefix="0" xfId="0">
      <alignment vertical="center"/>
    </xf>
    <xf numFmtId="165" fontId="5" fillId="4" borderId="1" applyAlignment="1" applyProtection="1" pivotButton="0" quotePrefix="0" xfId="0">
      <alignment horizontal="right" indent="1"/>
      <protection locked="0" hidden="0"/>
    </xf>
    <xf numFmtId="0" fontId="6" fillId="0" borderId="0" applyAlignment="1" pivotButton="0" quotePrefix="0" xfId="0">
      <alignment vertical="center" indent="1"/>
    </xf>
    <xf numFmtId="9" fontId="5" fillId="0" borderId="1" applyAlignment="1" applyProtection="1" pivotButton="0" quotePrefix="0" xfId="0">
      <alignment horizontal="right" indent="1"/>
      <protection locked="1" hidden="1"/>
    </xf>
    <xf numFmtId="9" fontId="13" fillId="0" borderId="1" applyAlignment="1" applyProtection="1" pivotButton="0" quotePrefix="0" xfId="0">
      <alignment horizontal="right" indent="1"/>
      <protection locked="1" hidden="1"/>
    </xf>
    <xf numFmtId="0" fontId="0" fillId="0" borderId="4" applyProtection="1" pivotButton="0" quotePrefix="0" xfId="0">
      <protection locked="1" hidden="1"/>
    </xf>
    <xf numFmtId="165" fontId="5" fillId="0" borderId="1" applyAlignment="1" applyProtection="1" pivotButton="0" quotePrefix="0" xfId="0">
      <alignment horizontal="right" indent="1"/>
      <protection locked="1" hidden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indent="1"/>
    </xf>
    <xf numFmtId="167" fontId="14" fillId="3" borderId="1" applyAlignment="1" pivotButton="0" quotePrefix="0" xfId="0">
      <alignment horizontal="center"/>
    </xf>
    <xf numFmtId="165" fontId="6" fillId="0" borderId="1" applyAlignment="1" applyProtection="1" pivotButton="0" quotePrefix="0" xfId="0">
      <alignment horizontal="right" indent="1"/>
      <protection locked="1" hidden="1"/>
    </xf>
  </cellXfs>
  <cellStyles count="1">
    <cellStyle name="Normal" xfId="0" builtinId="0" hidden="0"/>
  </cellStyles>
  <dxfs count="2">
    <dxf>
      <fill>
        <patternFill>
          <bgColor rgb="00CDE9D6"/>
        </patternFill>
      </fill>
    </dxf>
    <dxf>
      <fill>
        <patternFill>
          <bgColor rgb="00F6D5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3" customWidth="1" min="4" max="4"/>
  </cols>
  <sheetData>
    <row r="2" ht="34" customHeight="1">
      <c r="B2" s="1" t="inlineStr">
        <is>
          <t xml:space="preserve">  PROPERTY FEASIBILITY CALCULATOR</t>
        </is>
      </c>
      <c r="C2" s="2" t="n"/>
    </row>
    <row r="3" ht="18" customHeight="1">
      <c r="B3" s="3" t="inlineStr">
        <is>
          <t xml:space="preserve">  Two minutes to a yes or no on any deal.</t>
        </is>
      </c>
    </row>
    <row r="5" ht="20" customHeight="1">
      <c r="B5" s="4" t="inlineStr">
        <is>
          <t>How to use it</t>
        </is>
      </c>
      <c r="C5" s="5" t="n"/>
    </row>
    <row r="6" ht="17" customHeight="1">
      <c r="B6" s="6" t="inlineStr">
        <is>
          <t>Step 1</t>
        </is>
      </c>
      <c r="C6" s="7" t="inlineStr">
        <is>
          <t>Open the tab for your deal type — Residential or Townhouse.</t>
        </is>
      </c>
    </row>
    <row r="7" ht="17" customHeight="1">
      <c r="B7" s="6" t="inlineStr">
        <is>
          <t>Step 2</t>
        </is>
      </c>
      <c r="C7" s="7" t="inlineStr">
        <is>
          <t>Fill only the blue cells. Everything else calculates and is locked.</t>
        </is>
      </c>
    </row>
    <row r="8" ht="17" customHeight="1">
      <c r="B8" s="6" t="inlineStr">
        <is>
          <t>Step 3</t>
        </is>
      </c>
      <c r="C8" s="7" t="inlineStr">
        <is>
          <t>Read the verdict. Green clears your profit threshold, red does not.</t>
        </is>
      </c>
    </row>
    <row r="9" ht="17" customHeight="1">
      <c r="B9" s="6" t="inlineStr">
        <is>
          <t>Step 4</t>
        </is>
      </c>
      <c r="C9" s="7" t="inlineStr">
        <is>
          <t>The threshold is itself an input. Change it and the verdict follows.</t>
        </is>
      </c>
    </row>
    <row r="11" ht="20" customHeight="1">
      <c r="B11" s="4" t="inlineStr">
        <is>
          <t>Reading the sheet</t>
        </is>
      </c>
      <c r="C11" s="5" t="n"/>
    </row>
    <row r="12" ht="17" customHeight="1">
      <c r="B12" s="8" t="inlineStr">
        <is>
          <t>Blue cell</t>
        </is>
      </c>
      <c r="C12" s="7" t="inlineStr">
        <is>
          <t>You type here.</t>
        </is>
      </c>
    </row>
    <row r="13" ht="17" customHeight="1">
      <c r="B13" s="6" t="inlineStr">
        <is>
          <t>Grey tile</t>
        </is>
      </c>
      <c r="C13" s="7" t="inlineStr">
        <is>
          <t>A headline number, calculated for you.</t>
        </is>
      </c>
    </row>
    <row r="14" ht="26" customHeight="1">
      <c r="B14" s="6" t="inlineStr">
        <is>
          <t>Sensitivity grid</t>
        </is>
      </c>
      <c r="C14" s="7" t="inlineStr">
        <is>
          <t>Profit on cost if retail values and build costs move against you. Red is trouble.</t>
        </is>
      </c>
    </row>
    <row r="16" ht="20" customHeight="1">
      <c r="B16" s="4" t="inlineStr">
        <is>
          <t>What it works out</t>
        </is>
      </c>
      <c r="C16" s="5" t="n"/>
    </row>
    <row r="17" ht="17" customHeight="1">
      <c r="B17" s="6" t="inlineStr">
        <is>
          <t>Market averages</t>
        </is>
      </c>
      <c r="C17" s="7" t="inlineStr">
        <is>
          <t>Average raw land and retail value from your comparables.</t>
        </is>
      </c>
    </row>
    <row r="18" ht="17" customHeight="1">
      <c r="B18" s="6" t="inlineStr">
        <is>
          <t>Total purchase</t>
        </is>
      </c>
      <c r="C18" s="7" t="inlineStr">
        <is>
          <t>Land purchase plus stamp duty.</t>
        </is>
      </c>
    </row>
    <row r="19" ht="17" customHeight="1">
      <c r="B19" s="6" t="inlineStr">
        <is>
          <t>Gross realisation</t>
        </is>
      </c>
      <c r="C19" s="7" t="inlineStr">
        <is>
          <t>Average retail value times the number of dwellings.</t>
        </is>
      </c>
    </row>
    <row r="20" ht="17" customHeight="1">
      <c r="B20" s="6" t="inlineStr">
        <is>
          <t>Net realisation</t>
        </is>
      </c>
      <c r="C20" s="7" t="inlineStr">
        <is>
          <t>Gross realisation less selling costs.</t>
        </is>
      </c>
    </row>
    <row r="21" ht="26" customHeight="1">
      <c r="B21" s="6" t="inlineStr">
        <is>
          <t>Development costs</t>
        </is>
      </c>
      <c r="C21" s="7" t="inlineStr">
        <is>
          <t>Build, council contributions, professional fees, contingency and finance.</t>
        </is>
      </c>
    </row>
    <row r="22" ht="17" customHeight="1">
      <c r="B22" s="6" t="inlineStr">
        <is>
          <t>Total cost</t>
        </is>
      </c>
      <c r="C22" s="7" t="inlineStr">
        <is>
          <t>Total purchase plus total development costs.</t>
        </is>
      </c>
    </row>
    <row r="23" ht="17" customHeight="1">
      <c r="B23" s="6" t="inlineStr">
        <is>
          <t>Net profit</t>
        </is>
      </c>
      <c r="C23" s="7" t="inlineStr">
        <is>
          <t>Net realisation less total cost.</t>
        </is>
      </c>
    </row>
    <row r="24" ht="17" customHeight="1">
      <c r="B24" s="6" t="inlineStr">
        <is>
          <t>Profit on cost</t>
        </is>
      </c>
      <c r="C24" s="7" t="inlineStr">
        <is>
          <t>Net profit divided by total cost. The verdict tests this.</t>
        </is>
      </c>
    </row>
    <row r="26" ht="20" customHeight="1">
      <c r="B26" s="4" t="inlineStr">
        <is>
          <t>Before you trust it</t>
        </is>
      </c>
      <c r="C26" s="5" t="n"/>
    </row>
    <row r="27" ht="26" customHeight="1">
      <c r="B27" s="6" t="inlineStr">
        <is>
          <t>It is a screen</t>
        </is>
      </c>
      <c r="C27" s="7" t="inlineStr">
        <is>
          <t>This sizes a deal quickly. It is not a substitute for a full feasibility, a valuation or advice.</t>
        </is>
      </c>
    </row>
    <row r="28" ht="26" customHeight="1">
      <c r="B28" s="6" t="inlineStr">
        <is>
          <t>No GST</t>
        </is>
      </c>
      <c r="C28" s="7" t="inlineStr">
        <is>
          <t>Sale prices and costs are treated consistently. GST and the margin scheme are not modelled.</t>
        </is>
      </c>
    </row>
    <row r="29" ht="26" customHeight="1">
      <c r="B29" s="6" t="inlineStr">
        <is>
          <t>No timeline</t>
        </is>
      </c>
      <c r="C29" s="7" t="inlineStr">
        <is>
          <t>Finance is a flat percentage, not a drawn-down facility over a project duration.</t>
        </is>
      </c>
    </row>
    <row r="30" ht="17" customHeight="1">
      <c r="B30" s="6" t="inlineStr">
        <is>
          <t>Worked example</t>
        </is>
      </c>
      <c r="C30" s="7" t="inlineStr">
        <is>
          <t>Every tab opens filled in. Type over it.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C2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2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hidden="1" width="13" customWidth="1" min="11" max="11"/>
  </cols>
  <sheetData>
    <row r="1" ht="30" customHeight="1">
      <c r="A1" s="9" t="inlineStr">
        <is>
          <t xml:space="preserve">  RESIDENTIAL DEVELOPMENT  ·  FEASIBILITY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10" t="inlineStr">
        <is>
          <t>Fill the blue cells. Everything else is calculated and locked.</t>
        </is>
      </c>
    </row>
    <row r="4" ht="18" customHeight="1">
      <c r="A4" s="11" t="inlineStr">
        <is>
          <t>THE DEAL</t>
        </is>
      </c>
      <c r="B4" s="12" t="n"/>
      <c r="D4" s="11" t="inlineStr">
        <is>
          <t>RESULT</t>
        </is>
      </c>
      <c r="E4" s="12" t="n"/>
      <c r="F4" s="12" t="n"/>
      <c r="G4" s="12" t="n"/>
      <c r="H4" s="12" t="n"/>
      <c r="I4" s="12" t="n"/>
      <c r="K4" s="13">
        <f>IFERROR(AVERAGE(B6:B9),0)</f>
        <v/>
      </c>
    </row>
    <row r="5" ht="16.5" customHeight="1">
      <c r="A5" s="14" t="inlineStr">
        <is>
          <t>Raw land comparables</t>
        </is>
      </c>
      <c r="K5" s="13">
        <f>IFERROR(AVERAGE(B11:B14),0)</f>
        <v/>
      </c>
    </row>
    <row r="6" ht="16.5" customHeight="1">
      <c r="A6" s="15" t="inlineStr">
        <is>
          <t>Comparable 1</t>
        </is>
      </c>
      <c r="B6" s="16" t="n">
        <v>292000</v>
      </c>
      <c r="D6" s="17" t="inlineStr">
        <is>
          <t>NET PROFIT</t>
        </is>
      </c>
      <c r="E6" s="18" t="n"/>
      <c r="F6" s="18" t="n"/>
      <c r="G6" s="17" t="inlineStr">
        <is>
          <t>PROFIT ON COST</t>
        </is>
      </c>
      <c r="H6" s="18" t="n"/>
      <c r="I6" s="18" t="n"/>
      <c r="K6" s="13">
        <f>K4*B15</f>
        <v/>
      </c>
    </row>
    <row r="7" ht="16.5" customHeight="1">
      <c r="A7" s="15" t="inlineStr">
        <is>
          <t>Comparable 2</t>
        </is>
      </c>
      <c r="B7" s="16" t="n">
        <v>305000</v>
      </c>
      <c r="D7" s="19">
        <f>K19</f>
        <v/>
      </c>
      <c r="E7" s="18" t="n"/>
      <c r="F7" s="18" t="n"/>
      <c r="G7" s="20">
        <f>K20</f>
        <v/>
      </c>
      <c r="H7" s="18" t="n"/>
      <c r="I7" s="18" t="n"/>
      <c r="K7" s="13">
        <f>K6*B20</f>
        <v/>
      </c>
    </row>
    <row r="8" ht="16.5" customHeight="1">
      <c r="A8" s="15" t="inlineStr">
        <is>
          <t>Comparable 3</t>
        </is>
      </c>
      <c r="B8" s="16" t="n">
        <v>298000</v>
      </c>
      <c r="D8" s="18" t="n"/>
      <c r="E8" s="18" t="n"/>
      <c r="F8" s="18" t="n"/>
      <c r="G8" s="18" t="n"/>
      <c r="H8" s="18" t="n"/>
      <c r="I8" s="18" t="n"/>
      <c r="K8" s="13">
        <f>K6+K7</f>
        <v/>
      </c>
    </row>
    <row r="9" ht="16.5" customHeight="1">
      <c r="A9" s="15" t="inlineStr">
        <is>
          <t>Comparable 4</t>
        </is>
      </c>
      <c r="B9" s="16" t="n">
        <v>305000</v>
      </c>
      <c r="K9" s="13">
        <f>K5*B15</f>
        <v/>
      </c>
    </row>
    <row r="10" ht="16.5" customHeight="1">
      <c r="A10" s="14" t="inlineStr">
        <is>
          <t>Retail comparables</t>
        </is>
      </c>
      <c r="D10" s="17" t="inlineStr">
        <is>
          <t>TOTAL COST</t>
        </is>
      </c>
      <c r="E10" s="18" t="n"/>
      <c r="F10" s="18" t="n"/>
      <c r="G10" s="17" t="inlineStr">
        <is>
          <t>GROSS REALISATION</t>
        </is>
      </c>
      <c r="H10" s="18" t="n"/>
      <c r="I10" s="18" t="n"/>
      <c r="K10" s="13">
        <f>K9*B23</f>
        <v/>
      </c>
    </row>
    <row r="11" ht="16.5" customHeight="1">
      <c r="A11" s="15" t="inlineStr">
        <is>
          <t>Comparable 1</t>
        </is>
      </c>
      <c r="B11" s="16" t="n">
        <v>955000</v>
      </c>
      <c r="D11" s="21">
        <f>K18</f>
        <v/>
      </c>
      <c r="E11" s="18" t="n"/>
      <c r="F11" s="18" t="n"/>
      <c r="G11" s="21">
        <f>K9</f>
        <v/>
      </c>
      <c r="H11" s="18" t="n"/>
      <c r="I11" s="18" t="n"/>
      <c r="K11" s="13">
        <f>K9-K10</f>
        <v/>
      </c>
    </row>
    <row r="12" ht="16.5" customHeight="1">
      <c r="A12" s="15" t="inlineStr">
        <is>
          <t>Comparable 2</t>
        </is>
      </c>
      <c r="B12" s="16" t="n">
        <v>972000</v>
      </c>
      <c r="D12" s="18" t="n"/>
      <c r="E12" s="18" t="n"/>
      <c r="F12" s="18" t="n"/>
      <c r="G12" s="18" t="n"/>
      <c r="H12" s="18" t="n"/>
      <c r="I12" s="18" t="n"/>
      <c r="K12" s="13">
        <f>B16*B15</f>
        <v/>
      </c>
    </row>
    <row r="13" ht="16.5" customHeight="1">
      <c r="A13" s="15" t="inlineStr">
        <is>
          <t>Comparable 3</t>
        </is>
      </c>
      <c r="B13" s="16" t="n">
        <v>960000</v>
      </c>
      <c r="K13" s="13">
        <f>B17*B15</f>
        <v/>
      </c>
    </row>
    <row r="14" ht="19" customHeight="1">
      <c r="A14" s="15" t="inlineStr">
        <is>
          <t>Comparable 4</t>
        </is>
      </c>
      <c r="B14" s="16" t="n">
        <v>973000</v>
      </c>
      <c r="D14" s="22">
        <f>IF(K18=0,"ENTER YOUR DEAL",IF(K20&gt;=B27,"MEETS THRESHOLD","BELOW THRESHOLD"))</f>
        <v/>
      </c>
      <c r="E14" s="23" t="n"/>
      <c r="F14" s="23" t="n"/>
      <c r="G14" s="23" t="n"/>
      <c r="H14" s="23" t="n"/>
      <c r="I14" s="23" t="n"/>
      <c r="K14" s="13">
        <f>K12*B21</f>
        <v/>
      </c>
    </row>
    <row r="15" ht="19" customHeight="1">
      <c r="A15" s="24" t="inlineStr">
        <is>
          <t>Number of dwellings</t>
        </is>
      </c>
      <c r="B15" s="25" t="n">
        <v>6</v>
      </c>
      <c r="D15" s="23" t="n"/>
      <c r="E15" s="23" t="n"/>
      <c r="F15" s="23" t="n"/>
      <c r="G15" s="23" t="n"/>
      <c r="H15" s="23" t="n"/>
      <c r="I15" s="23" t="n"/>
      <c r="K15" s="13">
        <f>K12*B22</f>
        <v/>
      </c>
    </row>
    <row r="16" ht="19" customHeight="1">
      <c r="A16" s="24" t="inlineStr">
        <is>
          <t>Build cost per dwelling</t>
        </is>
      </c>
      <c r="B16" s="16" t="n">
        <v>310000</v>
      </c>
      <c r="D16" s="23" t="n"/>
      <c r="E16" s="23" t="n"/>
      <c r="F16" s="23" t="n"/>
      <c r="G16" s="23" t="n"/>
      <c r="H16" s="23" t="n"/>
      <c r="I16" s="23" t="n"/>
      <c r="K16" s="13">
        <f>(K8+K12+K13+K14+K15)*B24</f>
        <v/>
      </c>
    </row>
    <row r="17" ht="16.5" customHeight="1">
      <c r="A17" s="24" t="inlineStr">
        <is>
          <t>Council contributions per dwelling</t>
        </is>
      </c>
      <c r="B17" s="16" t="n">
        <v>28000</v>
      </c>
      <c r="D17" s="26" t="inlineStr">
        <is>
          <t>Verdict tests profit on cost against your threshold.</t>
        </is>
      </c>
      <c r="K17" s="13">
        <f>K12+K13+K14+K15+K16</f>
        <v/>
      </c>
    </row>
    <row r="18" ht="16.5" customHeight="1">
      <c r="K18" s="13">
        <f>K8+K17</f>
        <v/>
      </c>
    </row>
    <row r="19" ht="18" customHeight="1">
      <c r="A19" s="11" t="inlineStr">
        <is>
          <t>RATES</t>
        </is>
      </c>
      <c r="B19" s="12" t="n"/>
      <c r="D19" s="11" t="inlineStr">
        <is>
          <t>WHERE THE MONEY GOES</t>
        </is>
      </c>
      <c r="E19" s="12" t="n"/>
      <c r="F19" s="12" t="n"/>
      <c r="G19" s="12" t="n"/>
      <c r="H19" s="12" t="n"/>
      <c r="I19" s="12" t="n"/>
      <c r="K19" s="13">
        <f>K11-K18</f>
        <v/>
      </c>
    </row>
    <row r="20" ht="16.5" customHeight="1">
      <c r="A20" s="24" t="inlineStr">
        <is>
          <t>Stamp duty</t>
        </is>
      </c>
      <c r="B20" s="27" t="n">
        <v>0.055</v>
      </c>
      <c r="D20" s="28" t="inlineStr">
        <is>
          <t>Land and stamp duty</t>
        </is>
      </c>
      <c r="F20" s="13">
        <f>K8</f>
        <v/>
      </c>
      <c r="G20" s="29">
        <f>IFERROR(K8/K18,0)</f>
        <v/>
      </c>
      <c r="H20" s="30">
        <f>IFERROR(K8/K18,0)</f>
        <v/>
      </c>
      <c r="I20" s="31" t="n"/>
      <c r="K20" s="32">
        <f>IFERROR(K19/K18,0)</f>
        <v/>
      </c>
    </row>
    <row r="21" ht="16.5" customHeight="1">
      <c r="A21" s="24" t="inlineStr">
        <is>
          <t>Professional fees</t>
        </is>
      </c>
      <c r="B21" s="27" t="n">
        <v>0.07000000000000001</v>
      </c>
      <c r="D21" s="28" t="inlineStr">
        <is>
          <t>Build</t>
        </is>
      </c>
      <c r="F21" s="13">
        <f>K12</f>
        <v/>
      </c>
      <c r="G21" s="29">
        <f>IFERROR(K12/K18,0)</f>
        <v/>
      </c>
      <c r="H21" s="30">
        <f>IFERROR(K12/K18,0)</f>
        <v/>
      </c>
      <c r="I21" s="31" t="n"/>
    </row>
    <row r="22" ht="16.5" customHeight="1">
      <c r="A22" s="24" t="inlineStr">
        <is>
          <t>Contingency</t>
        </is>
      </c>
      <c r="B22" s="27" t="n">
        <v>0.05</v>
      </c>
      <c r="D22" s="28" t="inlineStr">
        <is>
          <t>Council contributions</t>
        </is>
      </c>
      <c r="F22" s="13">
        <f>K13</f>
        <v/>
      </c>
      <c r="G22" s="29">
        <f>IFERROR(K13/K18,0)</f>
        <v/>
      </c>
      <c r="H22" s="30">
        <f>IFERROR(K13/K18,0)</f>
        <v/>
      </c>
      <c r="I22" s="31" t="n"/>
    </row>
    <row r="23" ht="16.5" customHeight="1">
      <c r="A23" s="24" t="inlineStr">
        <is>
          <t>Selling costs</t>
        </is>
      </c>
      <c r="B23" s="27" t="n">
        <v>0.025</v>
      </c>
      <c r="D23" s="28" t="inlineStr">
        <is>
          <t>Professional fees</t>
        </is>
      </c>
      <c r="F23" s="13">
        <f>K14</f>
        <v/>
      </c>
      <c r="G23" s="29">
        <f>IFERROR(K14/K18,0)</f>
        <v/>
      </c>
      <c r="H23" s="30">
        <f>IFERROR(K14/K18,0)</f>
        <v/>
      </c>
      <c r="I23" s="31" t="n"/>
    </row>
    <row r="24" ht="16.5" customHeight="1">
      <c r="A24" s="24" t="inlineStr">
        <is>
          <t>Finance costs</t>
        </is>
      </c>
      <c r="B24" s="27" t="n">
        <v>0.06</v>
      </c>
      <c r="D24" s="28" t="inlineStr">
        <is>
          <t>Contingency</t>
        </is>
      </c>
      <c r="F24" s="13">
        <f>K15</f>
        <v/>
      </c>
      <c r="G24" s="29">
        <f>IFERROR(K15/K18,0)</f>
        <v/>
      </c>
      <c r="H24" s="30">
        <f>IFERROR(K15/K18,0)</f>
        <v/>
      </c>
      <c r="I24" s="31" t="n"/>
    </row>
    <row r="25" ht="16.5" customHeight="1">
      <c r="D25" s="28" t="inlineStr">
        <is>
          <t>Finance</t>
        </is>
      </c>
      <c r="F25" s="13">
        <f>K16</f>
        <v/>
      </c>
      <c r="G25" s="29">
        <f>IFERROR(K16/K18,0)</f>
        <v/>
      </c>
      <c r="H25" s="30">
        <f>IFERROR(K16/K18,0)</f>
        <v/>
      </c>
      <c r="I25" s="31" t="n"/>
    </row>
    <row r="26" ht="18" customHeight="1">
      <c r="A26" s="11" t="inlineStr">
        <is>
          <t>THE TEST</t>
        </is>
      </c>
      <c r="B26" s="12" t="n"/>
      <c r="D26" s="26" t="inlineStr">
        <is>
          <t>Share of total cost</t>
        </is>
      </c>
    </row>
    <row r="27" ht="16.5" customHeight="1">
      <c r="A27" s="33" t="inlineStr">
        <is>
          <t>Profit-on-cost threshold</t>
        </is>
      </c>
      <c r="B27" s="27" t="n">
        <v>0.25</v>
      </c>
    </row>
    <row r="28" ht="18" customHeight="1">
      <c r="A28" s="26" t="inlineStr">
        <is>
          <t>Industry benchmark is 25%</t>
        </is>
      </c>
      <c r="D28" s="11" t="inlineStr">
        <is>
          <t>SENSITIVITY  ·  PROFIT ON COST</t>
        </is>
      </c>
      <c r="E28" s="12" t="n"/>
      <c r="F28" s="12" t="n"/>
      <c r="G28" s="12" t="n"/>
      <c r="H28" s="12" t="n"/>
      <c r="I28" s="12" t="n"/>
    </row>
    <row r="29" ht="16.5" customHeight="1">
      <c r="D29" s="34" t="inlineStr">
        <is>
          <t>Retail value shift  ↓     Build cost shift  →</t>
        </is>
      </c>
    </row>
    <row r="30" ht="16.5" customHeight="1">
      <c r="E30" s="35" t="n">
        <v>-0.1</v>
      </c>
      <c r="F30" s="35" t="n">
        <v>-0.05</v>
      </c>
      <c r="G30" s="35" t="n">
        <v>0</v>
      </c>
      <c r="H30" s="35" t="n">
        <v>0.05</v>
      </c>
      <c r="I30" s="35" t="n">
        <v>0.1</v>
      </c>
    </row>
    <row r="31" ht="16.5" customHeight="1">
      <c r="D31" s="35" t="n">
        <v>-0.1</v>
      </c>
      <c r="E31" s="36">
        <f>IFERROR($K$11*(1+$D31)/(($K$8+($K$12*(1+E$30))+$K$13+($K$12*(1+E$30))*$B$21+($K$12*(1+E$30))*$B$22)*(1+$B$24))-1,0)</f>
        <v/>
      </c>
      <c r="F31" s="36">
        <f>IFERROR($K$11*(1+$D31)/(($K$8+($K$12*(1+F$30))+$K$13+($K$12*(1+F$30))*$B$21+($K$12*(1+F$30))*$B$22)*(1+$B$24))-1,0)</f>
        <v/>
      </c>
      <c r="G31" s="36">
        <f>IFERROR($K$11*(1+$D31)/(($K$8+($K$12*(1+G$30))+$K$13+($K$12*(1+G$30))*$B$21+($K$12*(1+G$30))*$B$22)*(1+$B$24))-1,0)</f>
        <v/>
      </c>
      <c r="H31" s="36">
        <f>IFERROR($K$11*(1+$D31)/(($K$8+($K$12*(1+H$30))+$K$13+($K$12*(1+H$30))*$B$21+($K$12*(1+H$30))*$B$22)*(1+$B$24))-1,0)</f>
        <v/>
      </c>
      <c r="I31" s="36">
        <f>IFERROR($K$11*(1+$D31)/(($K$8+($K$12*(1+I$30))+$K$13+($K$12*(1+I$30))*$B$21+($K$12*(1+I$30))*$B$22)*(1+$B$24))-1,0)</f>
        <v/>
      </c>
    </row>
    <row r="32" ht="16.5" customHeight="1">
      <c r="D32" s="35" t="n">
        <v>-0.05</v>
      </c>
      <c r="E32" s="36">
        <f>IFERROR($K$11*(1+$D32)/(($K$8+($K$12*(1+E$30))+$K$13+($K$12*(1+E$30))*$B$21+($K$12*(1+E$30))*$B$22)*(1+$B$24))-1,0)</f>
        <v/>
      </c>
      <c r="F32" s="36">
        <f>IFERROR($K$11*(1+$D32)/(($K$8+($K$12*(1+F$30))+$K$13+($K$12*(1+F$30))*$B$21+($K$12*(1+F$30))*$B$22)*(1+$B$24))-1,0)</f>
        <v/>
      </c>
      <c r="G32" s="36">
        <f>IFERROR($K$11*(1+$D32)/(($K$8+($K$12*(1+G$30))+$K$13+($K$12*(1+G$30))*$B$21+($K$12*(1+G$30))*$B$22)*(1+$B$24))-1,0)</f>
        <v/>
      </c>
      <c r="H32" s="36">
        <f>IFERROR($K$11*(1+$D32)/(($K$8+($K$12*(1+H$30))+$K$13+($K$12*(1+H$30))*$B$21+($K$12*(1+H$30))*$B$22)*(1+$B$24))-1,0)</f>
        <v/>
      </c>
      <c r="I32" s="36">
        <f>IFERROR($K$11*(1+$D32)/(($K$8+($K$12*(1+I$30))+$K$13+($K$12*(1+I$30))*$B$21+($K$12*(1+I$30))*$B$22)*(1+$B$24))-1,0)</f>
        <v/>
      </c>
    </row>
    <row r="33" ht="16.5" customHeight="1">
      <c r="D33" s="35" t="n">
        <v>0</v>
      </c>
      <c r="E33" s="36">
        <f>IFERROR($K$11*(1+$D33)/(($K$8+($K$12*(1+E$30))+$K$13+($K$12*(1+E$30))*$B$21+($K$12*(1+E$30))*$B$22)*(1+$B$24))-1,0)</f>
        <v/>
      </c>
      <c r="F33" s="36">
        <f>IFERROR($K$11*(1+$D33)/(($K$8+($K$12*(1+F$30))+$K$13+($K$12*(1+F$30))*$B$21+($K$12*(1+F$30))*$B$22)*(1+$B$24))-1,0)</f>
        <v/>
      </c>
      <c r="G33" s="36">
        <f>IFERROR($K$11*(1+$D33)/(($K$8+($K$12*(1+G$30))+$K$13+($K$12*(1+G$30))*$B$21+($K$12*(1+G$30))*$B$22)*(1+$B$24))-1,0)</f>
        <v/>
      </c>
      <c r="H33" s="36">
        <f>IFERROR($K$11*(1+$D33)/(($K$8+($K$12*(1+H$30))+$K$13+($K$12*(1+H$30))*$B$21+($K$12*(1+H$30))*$B$22)*(1+$B$24))-1,0)</f>
        <v/>
      </c>
      <c r="I33" s="36">
        <f>IFERROR($K$11*(1+$D33)/(($K$8+($K$12*(1+I$30))+$K$13+($K$12*(1+I$30))*$B$21+($K$12*(1+I$30))*$B$22)*(1+$B$24))-1,0)</f>
        <v/>
      </c>
    </row>
    <row r="34" ht="16.5" customHeight="1">
      <c r="D34" s="35" t="n">
        <v>0.05</v>
      </c>
      <c r="E34" s="36">
        <f>IFERROR($K$11*(1+$D34)/(($K$8+($K$12*(1+E$30))+$K$13+($K$12*(1+E$30))*$B$21+($K$12*(1+E$30))*$B$22)*(1+$B$24))-1,0)</f>
        <v/>
      </c>
      <c r="F34" s="36">
        <f>IFERROR($K$11*(1+$D34)/(($K$8+($K$12*(1+F$30))+$K$13+($K$12*(1+F$30))*$B$21+($K$12*(1+F$30))*$B$22)*(1+$B$24))-1,0)</f>
        <v/>
      </c>
      <c r="G34" s="36">
        <f>IFERROR($K$11*(1+$D34)/(($K$8+($K$12*(1+G$30))+$K$13+($K$12*(1+G$30))*$B$21+($K$12*(1+G$30))*$B$22)*(1+$B$24))-1,0)</f>
        <v/>
      </c>
      <c r="H34" s="36">
        <f>IFERROR($K$11*(1+$D34)/(($K$8+($K$12*(1+H$30))+$K$13+($K$12*(1+H$30))*$B$21+($K$12*(1+H$30))*$B$22)*(1+$B$24))-1,0)</f>
        <v/>
      </c>
      <c r="I34" s="36">
        <f>IFERROR($K$11*(1+$D34)/(($K$8+($K$12*(1+I$30))+$K$13+($K$12*(1+I$30))*$B$21+($K$12*(1+I$30))*$B$22)*(1+$B$24))-1,0)</f>
        <v/>
      </c>
    </row>
    <row r="35" ht="16.5" customHeight="1">
      <c r="D35" s="35" t="n">
        <v>0.1</v>
      </c>
      <c r="E35" s="36">
        <f>IFERROR($K$11*(1+$D35)/(($K$8+($K$12*(1+E$30))+$K$13+($K$12*(1+E$30))*$B$21+($K$12*(1+E$30))*$B$22)*(1+$B$24))-1,0)</f>
        <v/>
      </c>
      <c r="F35" s="36">
        <f>IFERROR($K$11*(1+$D35)/(($K$8+($K$12*(1+F$30))+$K$13+($K$12*(1+F$30))*$B$21+($K$12*(1+F$30))*$B$22)*(1+$B$24))-1,0)</f>
        <v/>
      </c>
      <c r="G35" s="36">
        <f>IFERROR($K$11*(1+$D35)/(($K$8+($K$12*(1+G$30))+$K$13+($K$12*(1+G$30))*$B$21+($K$12*(1+G$30))*$B$22)*(1+$B$24))-1,0)</f>
        <v/>
      </c>
      <c r="H35" s="36">
        <f>IFERROR($K$11*(1+$D35)/(($K$8+($K$12*(1+H$30))+$K$13+($K$12*(1+H$30))*$B$21+($K$12*(1+H$30))*$B$22)*(1+$B$24))-1,0)</f>
        <v/>
      </c>
      <c r="I35" s="36">
        <f>IFERROR($K$11*(1+$D35)/(($K$8+($K$12*(1+I$30))+$K$13+($K$12*(1+I$30))*$B$21+($K$12*(1+I$30))*$B$22)*(1+$B$24))-1,0)</f>
        <v/>
      </c>
    </row>
    <row r="36" ht="16.5" customHeight="1">
      <c r="D36" s="26" t="inlineStr">
        <is>
          <t>A 5% fall in retail value hurts about twice as much as a 5% rise in build cost.</t>
        </is>
      </c>
    </row>
    <row r="37" ht="16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0">
    <mergeCell ref="D20:E20"/>
    <mergeCell ref="G10:I10"/>
    <mergeCell ref="H20:I20"/>
    <mergeCell ref="G6:I6"/>
    <mergeCell ref="D22:E22"/>
    <mergeCell ref="D21:E21"/>
    <mergeCell ref="G11:I12"/>
    <mergeCell ref="H25:I25"/>
    <mergeCell ref="H21:I21"/>
    <mergeCell ref="D28:I28"/>
    <mergeCell ref="D4:I4"/>
    <mergeCell ref="G7:I8"/>
    <mergeCell ref="D11:F12"/>
    <mergeCell ref="A26:B26"/>
    <mergeCell ref="D29:I29"/>
    <mergeCell ref="D14:I16"/>
    <mergeCell ref="H22:I22"/>
    <mergeCell ref="D7:F8"/>
    <mergeCell ref="D10:F10"/>
    <mergeCell ref="A4:B4"/>
    <mergeCell ref="D19:I19"/>
    <mergeCell ref="D25:E25"/>
    <mergeCell ref="D24:E24"/>
    <mergeCell ref="A19:B19"/>
    <mergeCell ref="H24:I24"/>
    <mergeCell ref="D23:E23"/>
    <mergeCell ref="A1:I1"/>
    <mergeCell ref="H23:I23"/>
    <mergeCell ref="D36:I36"/>
    <mergeCell ref="D6:F6"/>
  </mergeCells>
  <conditionalFormatting sqref="D14:I16">
    <cfRule type="expression" priority="1" dxfId="0">
      <formula>AND($K$18&lt;&gt;0,$K$20&gt;=$B$27)</formula>
    </cfRule>
    <cfRule type="expression" priority="2" dxfId="1">
      <formula>AND($K$18&lt;&gt;0,$K$20&lt;$B$27)</formula>
    </cfRule>
  </conditionalFormatting>
  <conditionalFormatting sqref="H20:H25">
    <cfRule type="dataBar" priority="3">
      <dataBar minLength="0" maxLength="100" showValue="1">
        <cfvo type="num" val="0"/>
        <cfvo type="num" val="0.7"/>
        <color rgb="001F3A5F"/>
      </dataBar>
    </cfRule>
  </conditionalFormatting>
  <conditionalFormatting sqref="E31:I35">
    <cfRule type="colorScale" priority="4">
      <colorScale>
        <cfvo type="num" val="0"/>
        <cfvo type="num" val="0.25"/>
        <cfvo type="num" val="0.45"/>
        <color rgb="00F2A9A2"/>
        <color rgb="00FFF2CC"/>
        <color rgb="00BFE3CA"/>
      </colorScale>
    </cfRule>
  </conditionalFormatting>
  <dataValidations count="2">
    <dataValidation sqref="B20 B21 B22 B23 B24 B27" showDropDown="0" showInputMessage="0" showErrorMessage="1" allowBlank="0" errorTitle="Out of range" error="Enter a percentage between 0% and 100%." type="decimal" operator="between">
      <formula1>0</formula1>
      <formula2>1</formula2>
    </dataValidation>
    <dataValidation sqref="B15" showDropDown="0" showInputMessage="0" showErrorMessage="1" allowBlank="0" errorTitle="Invalid count" error="Number of dwellings must be a whole number above zero." type="whole" operator="greaterThan">
      <formula1>0</formula1>
    </dataValidation>
  </dataValidations>
  <pageMargins left="0.3" right="0.3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2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hidden="1" width="13" customWidth="1" min="11" max="11"/>
  </cols>
  <sheetData>
    <row r="1" ht="30" customHeight="1">
      <c r="A1" s="9" t="inlineStr">
        <is>
          <t xml:space="preserve">  TOWNHOUSE DEVELOPMENT  ·  FEASIBILITY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10" t="inlineStr">
        <is>
          <t>Fill the blue cells. Everything else is calculated and locked.</t>
        </is>
      </c>
    </row>
    <row r="4" ht="18" customHeight="1">
      <c r="A4" s="11" t="inlineStr">
        <is>
          <t>THE DEAL</t>
        </is>
      </c>
      <c r="B4" s="12" t="n"/>
      <c r="D4" s="11" t="inlineStr">
        <is>
          <t>RESULT</t>
        </is>
      </c>
      <c r="E4" s="12" t="n"/>
      <c r="F4" s="12" t="n"/>
      <c r="G4" s="12" t="n"/>
      <c r="H4" s="12" t="n"/>
      <c r="I4" s="12" t="n"/>
      <c r="K4" s="13">
        <f>IFERROR(AVERAGE(B6:B9),0)</f>
        <v/>
      </c>
    </row>
    <row r="5" ht="16.5" customHeight="1">
      <c r="A5" s="14" t="inlineStr">
        <is>
          <t>Raw land comparables</t>
        </is>
      </c>
      <c r="K5" s="13">
        <f>IFERROR(AVERAGE(B11:B14),0)</f>
        <v/>
      </c>
    </row>
    <row r="6" ht="16.5" customHeight="1">
      <c r="A6" s="15" t="inlineStr">
        <is>
          <t>Comparable 1</t>
        </is>
      </c>
      <c r="B6" s="16" t="n">
        <v>442000</v>
      </c>
      <c r="D6" s="17" t="inlineStr">
        <is>
          <t>NET PROFIT</t>
        </is>
      </c>
      <c r="E6" s="18" t="n"/>
      <c r="F6" s="18" t="n"/>
      <c r="G6" s="17" t="inlineStr">
        <is>
          <t>PROFIT ON COST</t>
        </is>
      </c>
      <c r="H6" s="18" t="n"/>
      <c r="I6" s="18" t="n"/>
      <c r="K6" s="13">
        <f>K4*B15</f>
        <v/>
      </c>
    </row>
    <row r="7" ht="16.5" customHeight="1">
      <c r="A7" s="15" t="inlineStr">
        <is>
          <t>Comparable 2</t>
        </is>
      </c>
      <c r="B7" s="16" t="n">
        <v>455000</v>
      </c>
      <c r="D7" s="19">
        <f>K19</f>
        <v/>
      </c>
      <c r="E7" s="18" t="n"/>
      <c r="F7" s="18" t="n"/>
      <c r="G7" s="20">
        <f>K20</f>
        <v/>
      </c>
      <c r="H7" s="18" t="n"/>
      <c r="I7" s="18" t="n"/>
      <c r="K7" s="13">
        <f>K6*B20</f>
        <v/>
      </c>
    </row>
    <row r="8" ht="16.5" customHeight="1">
      <c r="A8" s="15" t="inlineStr">
        <is>
          <t>Comparable 3</t>
        </is>
      </c>
      <c r="B8" s="16" t="n">
        <v>448000</v>
      </c>
      <c r="D8" s="18" t="n"/>
      <c r="E8" s="18" t="n"/>
      <c r="F8" s="18" t="n"/>
      <c r="G8" s="18" t="n"/>
      <c r="H8" s="18" t="n"/>
      <c r="I8" s="18" t="n"/>
      <c r="K8" s="13">
        <f>K6+K7</f>
        <v/>
      </c>
    </row>
    <row r="9" ht="16.5" customHeight="1">
      <c r="A9" s="15" t="inlineStr">
        <is>
          <t>Comparable 4</t>
        </is>
      </c>
      <c r="B9" s="16" t="n">
        <v>455000</v>
      </c>
      <c r="K9" s="13">
        <f>K5*B15</f>
        <v/>
      </c>
    </row>
    <row r="10" ht="16.5" customHeight="1">
      <c r="A10" s="14" t="inlineStr">
        <is>
          <t>Retail comparables</t>
        </is>
      </c>
      <c r="D10" s="17" t="inlineStr">
        <is>
          <t>TOTAL COST</t>
        </is>
      </c>
      <c r="E10" s="18" t="n"/>
      <c r="F10" s="18" t="n"/>
      <c r="G10" s="17" t="inlineStr">
        <is>
          <t>GROSS REALISATION</t>
        </is>
      </c>
      <c r="H10" s="18" t="n"/>
      <c r="I10" s="18" t="n"/>
      <c r="K10" s="13">
        <f>K9*B23</f>
        <v/>
      </c>
    </row>
    <row r="11" ht="16.5" customHeight="1">
      <c r="A11" s="15" t="inlineStr">
        <is>
          <t>Comparable 1</t>
        </is>
      </c>
      <c r="B11" s="16" t="n">
        <v>1160000</v>
      </c>
      <c r="D11" s="21">
        <f>K18</f>
        <v/>
      </c>
      <c r="E11" s="18" t="n"/>
      <c r="F11" s="18" t="n"/>
      <c r="G11" s="21">
        <f>K9</f>
        <v/>
      </c>
      <c r="H11" s="18" t="n"/>
      <c r="I11" s="18" t="n"/>
      <c r="K11" s="13">
        <f>K9-K10</f>
        <v/>
      </c>
    </row>
    <row r="12" ht="16.5" customHeight="1">
      <c r="A12" s="15" t="inlineStr">
        <is>
          <t>Comparable 2</t>
        </is>
      </c>
      <c r="B12" s="16" t="n">
        <v>1178000</v>
      </c>
      <c r="D12" s="18" t="n"/>
      <c r="E12" s="18" t="n"/>
      <c r="F12" s="18" t="n"/>
      <c r="G12" s="18" t="n"/>
      <c r="H12" s="18" t="n"/>
      <c r="I12" s="18" t="n"/>
      <c r="K12" s="13">
        <f>B16*B15</f>
        <v/>
      </c>
    </row>
    <row r="13" ht="16.5" customHeight="1">
      <c r="A13" s="15" t="inlineStr">
        <is>
          <t>Comparable 3</t>
        </is>
      </c>
      <c r="B13" s="16" t="n">
        <v>1165000</v>
      </c>
      <c r="K13" s="13">
        <f>B17*B15</f>
        <v/>
      </c>
    </row>
    <row r="14" ht="19" customHeight="1">
      <c r="A14" s="15" t="inlineStr">
        <is>
          <t>Comparable 4</t>
        </is>
      </c>
      <c r="B14" s="16" t="n">
        <v>1181000</v>
      </c>
      <c r="D14" s="22">
        <f>IF(K18=0,"ENTER YOUR DEAL",IF(K20&gt;=B27,"MEETS THRESHOLD","BELOW THRESHOLD"))</f>
        <v/>
      </c>
      <c r="E14" s="23" t="n"/>
      <c r="F14" s="23" t="n"/>
      <c r="G14" s="23" t="n"/>
      <c r="H14" s="23" t="n"/>
      <c r="I14" s="23" t="n"/>
      <c r="K14" s="13">
        <f>K12*B21</f>
        <v/>
      </c>
    </row>
    <row r="15" ht="19" customHeight="1">
      <c r="A15" s="24" t="inlineStr">
        <is>
          <t>Number of dwellings</t>
        </is>
      </c>
      <c r="B15" s="25" t="n">
        <v>8</v>
      </c>
      <c r="D15" s="23" t="n"/>
      <c r="E15" s="23" t="n"/>
      <c r="F15" s="23" t="n"/>
      <c r="G15" s="23" t="n"/>
      <c r="H15" s="23" t="n"/>
      <c r="I15" s="23" t="n"/>
      <c r="K15" s="13">
        <f>K12*B22</f>
        <v/>
      </c>
    </row>
    <row r="16" ht="19" customHeight="1">
      <c r="A16" s="24" t="inlineStr">
        <is>
          <t>Build cost per dwelling</t>
        </is>
      </c>
      <c r="B16" s="16" t="n">
        <v>395000</v>
      </c>
      <c r="D16" s="23" t="n"/>
      <c r="E16" s="23" t="n"/>
      <c r="F16" s="23" t="n"/>
      <c r="G16" s="23" t="n"/>
      <c r="H16" s="23" t="n"/>
      <c r="I16" s="23" t="n"/>
      <c r="K16" s="13">
        <f>(K8+K12+K13+K14+K15)*B24</f>
        <v/>
      </c>
    </row>
    <row r="17" ht="16.5" customHeight="1">
      <c r="A17" s="24" t="inlineStr">
        <is>
          <t>Council contributions per dwelling</t>
        </is>
      </c>
      <c r="B17" s="16" t="n">
        <v>34000</v>
      </c>
      <c r="D17" s="26" t="inlineStr">
        <is>
          <t>Verdict tests profit on cost against your threshold.</t>
        </is>
      </c>
      <c r="K17" s="13">
        <f>K12+K13+K14+K15+K16</f>
        <v/>
      </c>
    </row>
    <row r="18" ht="16.5" customHeight="1">
      <c r="K18" s="13">
        <f>K8+K17</f>
        <v/>
      </c>
    </row>
    <row r="19" ht="18" customHeight="1">
      <c r="A19" s="11" t="inlineStr">
        <is>
          <t>RATES</t>
        </is>
      </c>
      <c r="B19" s="12" t="n"/>
      <c r="D19" s="11" t="inlineStr">
        <is>
          <t>WHERE THE MONEY GOES</t>
        </is>
      </c>
      <c r="E19" s="12" t="n"/>
      <c r="F19" s="12" t="n"/>
      <c r="G19" s="12" t="n"/>
      <c r="H19" s="12" t="n"/>
      <c r="I19" s="12" t="n"/>
      <c r="K19" s="13">
        <f>K11-K18</f>
        <v/>
      </c>
    </row>
    <row r="20" ht="16.5" customHeight="1">
      <c r="A20" s="24" t="inlineStr">
        <is>
          <t>Stamp duty</t>
        </is>
      </c>
      <c r="B20" s="27" t="n">
        <v>0.055</v>
      </c>
      <c r="D20" s="28" t="inlineStr">
        <is>
          <t>Land and stamp duty</t>
        </is>
      </c>
      <c r="F20" s="13">
        <f>K8</f>
        <v/>
      </c>
      <c r="G20" s="29">
        <f>IFERROR(K8/K18,0)</f>
        <v/>
      </c>
      <c r="H20" s="30">
        <f>IFERROR(K8/K18,0)</f>
        <v/>
      </c>
      <c r="I20" s="31" t="n"/>
      <c r="K20" s="32">
        <f>IFERROR(K19/K18,0)</f>
        <v/>
      </c>
    </row>
    <row r="21" ht="16.5" customHeight="1">
      <c r="A21" s="24" t="inlineStr">
        <is>
          <t>Professional fees</t>
        </is>
      </c>
      <c r="B21" s="27" t="n">
        <v>0.08</v>
      </c>
      <c r="D21" s="28" t="inlineStr">
        <is>
          <t>Build</t>
        </is>
      </c>
      <c r="F21" s="13">
        <f>K12</f>
        <v/>
      </c>
      <c r="G21" s="29">
        <f>IFERROR(K12/K18,0)</f>
        <v/>
      </c>
      <c r="H21" s="30">
        <f>IFERROR(K12/K18,0)</f>
        <v/>
      </c>
      <c r="I21" s="31" t="n"/>
    </row>
    <row r="22" ht="16.5" customHeight="1">
      <c r="A22" s="24" t="inlineStr">
        <is>
          <t>Contingency</t>
        </is>
      </c>
      <c r="B22" s="27" t="n">
        <v>0.06</v>
      </c>
      <c r="D22" s="28" t="inlineStr">
        <is>
          <t>Council contributions</t>
        </is>
      </c>
      <c r="F22" s="13">
        <f>K13</f>
        <v/>
      </c>
      <c r="G22" s="29">
        <f>IFERROR(K13/K18,0)</f>
        <v/>
      </c>
      <c r="H22" s="30">
        <f>IFERROR(K13/K18,0)</f>
        <v/>
      </c>
      <c r="I22" s="31" t="n"/>
    </row>
    <row r="23" ht="16.5" customHeight="1">
      <c r="A23" s="24" t="inlineStr">
        <is>
          <t>Selling costs</t>
        </is>
      </c>
      <c r="B23" s="27" t="n">
        <v>0.025</v>
      </c>
      <c r="D23" s="28" t="inlineStr">
        <is>
          <t>Professional fees</t>
        </is>
      </c>
      <c r="F23" s="13">
        <f>K14</f>
        <v/>
      </c>
      <c r="G23" s="29">
        <f>IFERROR(K14/K18,0)</f>
        <v/>
      </c>
      <c r="H23" s="30">
        <f>IFERROR(K14/K18,0)</f>
        <v/>
      </c>
      <c r="I23" s="31" t="n"/>
    </row>
    <row r="24" ht="16.5" customHeight="1">
      <c r="A24" s="24" t="inlineStr">
        <is>
          <t>Finance costs</t>
        </is>
      </c>
      <c r="B24" s="27" t="n">
        <v>0.065</v>
      </c>
      <c r="D24" s="28" t="inlineStr">
        <is>
          <t>Contingency</t>
        </is>
      </c>
      <c r="F24" s="13">
        <f>K15</f>
        <v/>
      </c>
      <c r="G24" s="29">
        <f>IFERROR(K15/K18,0)</f>
        <v/>
      </c>
      <c r="H24" s="30">
        <f>IFERROR(K15/K18,0)</f>
        <v/>
      </c>
      <c r="I24" s="31" t="n"/>
    </row>
    <row r="25" ht="16.5" customHeight="1">
      <c r="D25" s="28" t="inlineStr">
        <is>
          <t>Finance</t>
        </is>
      </c>
      <c r="F25" s="13">
        <f>K16</f>
        <v/>
      </c>
      <c r="G25" s="29">
        <f>IFERROR(K16/K18,0)</f>
        <v/>
      </c>
      <c r="H25" s="30">
        <f>IFERROR(K16/K18,0)</f>
        <v/>
      </c>
      <c r="I25" s="31" t="n"/>
    </row>
    <row r="26" ht="18" customHeight="1">
      <c r="A26" s="11" t="inlineStr">
        <is>
          <t>THE TEST</t>
        </is>
      </c>
      <c r="B26" s="12" t="n"/>
      <c r="D26" s="26" t="inlineStr">
        <is>
          <t>Share of total cost</t>
        </is>
      </c>
    </row>
    <row r="27" ht="16.5" customHeight="1">
      <c r="A27" s="33" t="inlineStr">
        <is>
          <t>Profit-on-cost threshold</t>
        </is>
      </c>
      <c r="B27" s="27" t="n">
        <v>0.25</v>
      </c>
    </row>
    <row r="28" ht="18" customHeight="1">
      <c r="A28" s="26" t="inlineStr">
        <is>
          <t>Industry benchmark is 25%</t>
        </is>
      </c>
      <c r="D28" s="11" t="inlineStr">
        <is>
          <t>SENSITIVITY  ·  PROFIT ON COST</t>
        </is>
      </c>
      <c r="E28" s="12" t="n"/>
      <c r="F28" s="12" t="n"/>
      <c r="G28" s="12" t="n"/>
      <c r="H28" s="12" t="n"/>
      <c r="I28" s="12" t="n"/>
    </row>
    <row r="29" ht="16.5" customHeight="1">
      <c r="D29" s="34" t="inlineStr">
        <is>
          <t>Retail value shift  ↓     Build cost shift  →</t>
        </is>
      </c>
    </row>
    <row r="30" ht="16.5" customHeight="1">
      <c r="E30" s="35" t="n">
        <v>-0.1</v>
      </c>
      <c r="F30" s="35" t="n">
        <v>-0.05</v>
      </c>
      <c r="G30" s="35" t="n">
        <v>0</v>
      </c>
      <c r="H30" s="35" t="n">
        <v>0.05</v>
      </c>
      <c r="I30" s="35" t="n">
        <v>0.1</v>
      </c>
    </row>
    <row r="31" ht="16.5" customHeight="1">
      <c r="D31" s="35" t="n">
        <v>-0.1</v>
      </c>
      <c r="E31" s="36">
        <f>IFERROR($K$11*(1+$D31)/(($K$8+($K$12*(1+E$30))+$K$13+($K$12*(1+E$30))*$B$21+($K$12*(1+E$30))*$B$22)*(1+$B$24))-1,0)</f>
        <v/>
      </c>
      <c r="F31" s="36">
        <f>IFERROR($K$11*(1+$D31)/(($K$8+($K$12*(1+F$30))+$K$13+($K$12*(1+F$30))*$B$21+($K$12*(1+F$30))*$B$22)*(1+$B$24))-1,0)</f>
        <v/>
      </c>
      <c r="G31" s="36">
        <f>IFERROR($K$11*(1+$D31)/(($K$8+($K$12*(1+G$30))+$K$13+($K$12*(1+G$30))*$B$21+($K$12*(1+G$30))*$B$22)*(1+$B$24))-1,0)</f>
        <v/>
      </c>
      <c r="H31" s="36">
        <f>IFERROR($K$11*(1+$D31)/(($K$8+($K$12*(1+H$30))+$K$13+($K$12*(1+H$30))*$B$21+($K$12*(1+H$30))*$B$22)*(1+$B$24))-1,0)</f>
        <v/>
      </c>
      <c r="I31" s="36">
        <f>IFERROR($K$11*(1+$D31)/(($K$8+($K$12*(1+I$30))+$K$13+($K$12*(1+I$30))*$B$21+($K$12*(1+I$30))*$B$22)*(1+$B$24))-1,0)</f>
        <v/>
      </c>
    </row>
    <row r="32" ht="16.5" customHeight="1">
      <c r="D32" s="35" t="n">
        <v>-0.05</v>
      </c>
      <c r="E32" s="36">
        <f>IFERROR($K$11*(1+$D32)/(($K$8+($K$12*(1+E$30))+$K$13+($K$12*(1+E$30))*$B$21+($K$12*(1+E$30))*$B$22)*(1+$B$24))-1,0)</f>
        <v/>
      </c>
      <c r="F32" s="36">
        <f>IFERROR($K$11*(1+$D32)/(($K$8+($K$12*(1+F$30))+$K$13+($K$12*(1+F$30))*$B$21+($K$12*(1+F$30))*$B$22)*(1+$B$24))-1,0)</f>
        <v/>
      </c>
      <c r="G32" s="36">
        <f>IFERROR($K$11*(1+$D32)/(($K$8+($K$12*(1+G$30))+$K$13+($K$12*(1+G$30))*$B$21+($K$12*(1+G$30))*$B$22)*(1+$B$24))-1,0)</f>
        <v/>
      </c>
      <c r="H32" s="36">
        <f>IFERROR($K$11*(1+$D32)/(($K$8+($K$12*(1+H$30))+$K$13+($K$12*(1+H$30))*$B$21+($K$12*(1+H$30))*$B$22)*(1+$B$24))-1,0)</f>
        <v/>
      </c>
      <c r="I32" s="36">
        <f>IFERROR($K$11*(1+$D32)/(($K$8+($K$12*(1+I$30))+$K$13+($K$12*(1+I$30))*$B$21+($K$12*(1+I$30))*$B$22)*(1+$B$24))-1,0)</f>
        <v/>
      </c>
    </row>
    <row r="33" ht="16.5" customHeight="1">
      <c r="D33" s="35" t="n">
        <v>0</v>
      </c>
      <c r="E33" s="36">
        <f>IFERROR($K$11*(1+$D33)/(($K$8+($K$12*(1+E$30))+$K$13+($K$12*(1+E$30))*$B$21+($K$12*(1+E$30))*$B$22)*(1+$B$24))-1,0)</f>
        <v/>
      </c>
      <c r="F33" s="36">
        <f>IFERROR($K$11*(1+$D33)/(($K$8+($K$12*(1+F$30))+$K$13+($K$12*(1+F$30))*$B$21+($K$12*(1+F$30))*$B$22)*(1+$B$24))-1,0)</f>
        <v/>
      </c>
      <c r="G33" s="36">
        <f>IFERROR($K$11*(1+$D33)/(($K$8+($K$12*(1+G$30))+$K$13+($K$12*(1+G$30))*$B$21+($K$12*(1+G$30))*$B$22)*(1+$B$24))-1,0)</f>
        <v/>
      </c>
      <c r="H33" s="36">
        <f>IFERROR($K$11*(1+$D33)/(($K$8+($K$12*(1+H$30))+$K$13+($K$12*(1+H$30))*$B$21+($K$12*(1+H$30))*$B$22)*(1+$B$24))-1,0)</f>
        <v/>
      </c>
      <c r="I33" s="36">
        <f>IFERROR($K$11*(1+$D33)/(($K$8+($K$12*(1+I$30))+$K$13+($K$12*(1+I$30))*$B$21+($K$12*(1+I$30))*$B$22)*(1+$B$24))-1,0)</f>
        <v/>
      </c>
    </row>
    <row r="34" ht="16.5" customHeight="1">
      <c r="D34" s="35" t="n">
        <v>0.05</v>
      </c>
      <c r="E34" s="36">
        <f>IFERROR($K$11*(1+$D34)/(($K$8+($K$12*(1+E$30))+$K$13+($K$12*(1+E$30))*$B$21+($K$12*(1+E$30))*$B$22)*(1+$B$24))-1,0)</f>
        <v/>
      </c>
      <c r="F34" s="36">
        <f>IFERROR($K$11*(1+$D34)/(($K$8+($K$12*(1+F$30))+$K$13+($K$12*(1+F$30))*$B$21+($K$12*(1+F$30))*$B$22)*(1+$B$24))-1,0)</f>
        <v/>
      </c>
      <c r="G34" s="36">
        <f>IFERROR($K$11*(1+$D34)/(($K$8+($K$12*(1+G$30))+$K$13+($K$12*(1+G$30))*$B$21+($K$12*(1+G$30))*$B$22)*(1+$B$24))-1,0)</f>
        <v/>
      </c>
      <c r="H34" s="36">
        <f>IFERROR($K$11*(1+$D34)/(($K$8+($K$12*(1+H$30))+$K$13+($K$12*(1+H$30))*$B$21+($K$12*(1+H$30))*$B$22)*(1+$B$24))-1,0)</f>
        <v/>
      </c>
      <c r="I34" s="36">
        <f>IFERROR($K$11*(1+$D34)/(($K$8+($K$12*(1+I$30))+$K$13+($K$12*(1+I$30))*$B$21+($K$12*(1+I$30))*$B$22)*(1+$B$24))-1,0)</f>
        <v/>
      </c>
    </row>
    <row r="35" ht="16.5" customHeight="1">
      <c r="D35" s="35" t="n">
        <v>0.1</v>
      </c>
      <c r="E35" s="36">
        <f>IFERROR($K$11*(1+$D35)/(($K$8+($K$12*(1+E$30))+$K$13+($K$12*(1+E$30))*$B$21+($K$12*(1+E$30))*$B$22)*(1+$B$24))-1,0)</f>
        <v/>
      </c>
      <c r="F35" s="36">
        <f>IFERROR($K$11*(1+$D35)/(($K$8+($K$12*(1+F$30))+$K$13+($K$12*(1+F$30))*$B$21+($K$12*(1+F$30))*$B$22)*(1+$B$24))-1,0)</f>
        <v/>
      </c>
      <c r="G35" s="36">
        <f>IFERROR($K$11*(1+$D35)/(($K$8+($K$12*(1+G$30))+$K$13+($K$12*(1+G$30))*$B$21+($K$12*(1+G$30))*$B$22)*(1+$B$24))-1,0)</f>
        <v/>
      </c>
      <c r="H35" s="36">
        <f>IFERROR($K$11*(1+$D35)/(($K$8+($K$12*(1+H$30))+$K$13+($K$12*(1+H$30))*$B$21+($K$12*(1+H$30))*$B$22)*(1+$B$24))-1,0)</f>
        <v/>
      </c>
      <c r="I35" s="36">
        <f>IFERROR($K$11*(1+$D35)/(($K$8+($K$12*(1+I$30))+$K$13+($K$12*(1+I$30))*$B$21+($K$12*(1+I$30))*$B$22)*(1+$B$24))-1,0)</f>
        <v/>
      </c>
    </row>
    <row r="36" ht="16.5" customHeight="1">
      <c r="D36" s="26" t="inlineStr">
        <is>
          <t>A 5% fall in retail value hurts about twice as much as a 5% rise in build cost.</t>
        </is>
      </c>
    </row>
    <row r="37" ht="16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0">
    <mergeCell ref="D20:E20"/>
    <mergeCell ref="G10:I10"/>
    <mergeCell ref="H20:I20"/>
    <mergeCell ref="G6:I6"/>
    <mergeCell ref="D22:E22"/>
    <mergeCell ref="D21:E21"/>
    <mergeCell ref="G11:I12"/>
    <mergeCell ref="H25:I25"/>
    <mergeCell ref="H21:I21"/>
    <mergeCell ref="D28:I28"/>
    <mergeCell ref="D4:I4"/>
    <mergeCell ref="G7:I8"/>
    <mergeCell ref="D11:F12"/>
    <mergeCell ref="A26:B26"/>
    <mergeCell ref="D29:I29"/>
    <mergeCell ref="D14:I16"/>
    <mergeCell ref="H22:I22"/>
    <mergeCell ref="D7:F8"/>
    <mergeCell ref="D10:F10"/>
    <mergeCell ref="A4:B4"/>
    <mergeCell ref="D19:I19"/>
    <mergeCell ref="D25:E25"/>
    <mergeCell ref="D24:E24"/>
    <mergeCell ref="A19:B19"/>
    <mergeCell ref="H24:I24"/>
    <mergeCell ref="D23:E23"/>
    <mergeCell ref="A1:I1"/>
    <mergeCell ref="H23:I23"/>
    <mergeCell ref="D36:I36"/>
    <mergeCell ref="D6:F6"/>
  </mergeCells>
  <conditionalFormatting sqref="D14:I16">
    <cfRule type="expression" priority="1" dxfId="0">
      <formula>AND($K$18&lt;&gt;0,$K$20&gt;=$B$27)</formula>
    </cfRule>
    <cfRule type="expression" priority="2" dxfId="1">
      <formula>AND($K$18&lt;&gt;0,$K$20&lt;$B$27)</formula>
    </cfRule>
  </conditionalFormatting>
  <conditionalFormatting sqref="H20:H25">
    <cfRule type="dataBar" priority="3">
      <dataBar minLength="0" maxLength="100" showValue="1">
        <cfvo type="num" val="0"/>
        <cfvo type="num" val="0.7"/>
        <color rgb="001F3A5F"/>
      </dataBar>
    </cfRule>
  </conditionalFormatting>
  <conditionalFormatting sqref="E31:I35">
    <cfRule type="colorScale" priority="4">
      <colorScale>
        <cfvo type="num" val="0"/>
        <cfvo type="num" val="0.25"/>
        <cfvo type="num" val="0.45"/>
        <color rgb="00F2A9A2"/>
        <color rgb="00FFF2CC"/>
        <color rgb="00BFE3CA"/>
      </colorScale>
    </cfRule>
  </conditionalFormatting>
  <dataValidations count="2">
    <dataValidation sqref="B20 B21 B22 B23 B24 B27" showDropDown="0" showInputMessage="0" showErrorMessage="1" allowBlank="0" errorTitle="Out of range" error="Enter a percentage between 0% and 100%." type="decimal" operator="between">
      <formula1>0</formula1>
      <formula2>1</formula2>
    </dataValidation>
    <dataValidation sqref="B15" showDropDown="0" showInputMessage="0" showErrorMessage="1" allowBlank="0" errorTitle="Invalid count" error="Number of dwellings must be a whole number above zero." type="whole" operator="greaterThan">
      <formula1>0</formula1>
    </dataValidation>
  </dataValidations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2026-09-13T14:08:12Z</dcterms:created>
  <dcterms:modified xmlns:dcterms="http://purl.org/dc/terms/" xmlns:xsi="http://www.w3.org/2001/XMLSchema-instance" xsi:type="dcterms:W3CDTF">2026-09-13T14:08:12Z</dcterms:modified>
</cp:coreProperties>
</file>